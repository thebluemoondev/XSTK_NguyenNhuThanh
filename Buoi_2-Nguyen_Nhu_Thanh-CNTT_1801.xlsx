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uem\Downloads\"/>
    </mc:Choice>
  </mc:AlternateContent>
  <xr:revisionPtr revIDLastSave="0" documentId="8_{544DAF32-8462-48FA-A246-6B96CA18EE82}" xr6:coauthVersionLast="47" xr6:coauthVersionMax="47" xr10:uidLastSave="{00000000-0000-0000-0000-000000000000}"/>
  <bookViews>
    <workbookView xWindow="-108" yWindow="-108" windowWidth="23256" windowHeight="12456" xr2:uid="{35075778-7C49-4322-984A-C9031925B42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4" i="1"/>
  <c r="B22" i="1"/>
  <c r="B21" i="1" a="1"/>
  <c r="B21" i="1"/>
  <c r="B2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A5" i="1"/>
  <c r="A6" i="1"/>
  <c r="A7" i="1"/>
  <c r="A8" i="1"/>
  <c r="A9" i="1"/>
  <c r="A10" i="1"/>
  <c r="A11" i="1"/>
  <c r="A12" i="1"/>
  <c r="A13" i="1"/>
  <c r="A14" i="1"/>
  <c r="A15" i="1"/>
  <c r="A16" i="1"/>
  <c r="A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<sst xmlns="http://schemas.openxmlformats.org/spreadsheetml/2006/main" count="9" uniqueCount="9">
  <si>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X</t>
  </si>
  <si>
    <t>Tần suất</t>
  </si>
  <si>
    <t>P(X=x)</t>
  </si>
  <si>
    <t>F(x)</t>
  </si>
  <si>
    <t>E(X)</t>
  </si>
  <si>
    <t>Var(X)</t>
  </si>
  <si>
    <t>SD(X)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</si>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</sst>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60F9-9109-4B75-AD62-00581CAE88F7}">
  <dimension ref="A1:D24"/>
  <sheetViews>
    <sheetView tabSelected="1" workbookViewId="0">
      <selection activeCell="B24" sqref="B24"/>
    </sheetView>
  </sheetViews>
  <sheetFormatPr defaultRowHeight="13.8" x14ac:dyDescent="0.25"/>
  <cols>
    <col min="3" max="3" width="8.796875" style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0</v>
      </c>
      <c r="B2">
        <v>4</v>
      </c>
      <c r="C2" s="1">
        <f>B2/SUM($B$2:$B$16)</f>
        <v>0.02</v>
      </c>
      <c r="D2" s="1">
        <f>C2</f>
        <v>0.02</v>
      </c>
    </row>
    <row r="3" spans="1:4" x14ac:dyDescent="0.25">
      <c r="A3">
        <v>1</v>
      </c>
      <c r="B3">
        <v>8</v>
      </c>
      <c r="C3" s="1">
        <f t="shared" ref="C3:C16" si="0">B3/SUM($B$2:$B$16)</f>
        <v>0.04</v>
      </c>
      <c r="D3" s="1">
        <f>D2+C3</f>
        <v>0.06</v>
      </c>
    </row>
    <row r="4" spans="1:4" x14ac:dyDescent="0.25">
      <c r="A4">
        <f>A3+1</f>
        <v>2</v>
      </c>
      <c r="B4">
        <v>14</v>
      </c>
      <c r="C4" s="1">
        <f t="shared" si="0"/>
        <v>7.0000000000000007E-2</v>
      </c>
      <c r="D4" s="1">
        <f t="shared" ref="D4:D16" si="1">D3+C4</f>
        <v>0.13</v>
      </c>
    </row>
    <row r="5" spans="1:4" x14ac:dyDescent="0.25">
      <c r="A5">
        <f t="shared" ref="A5:A18" si="2">A4+1</f>
        <v>3</v>
      </c>
      <c r="B5">
        <v>18</v>
      </c>
      <c r="C5" s="1">
        <f t="shared" si="0"/>
        <v>0.09</v>
      </c>
      <c r="D5" s="1">
        <f t="shared" si="1"/>
        <v>0.22</v>
      </c>
    </row>
    <row r="6" spans="1:4" x14ac:dyDescent="0.25">
      <c r="A6">
        <f t="shared" si="2"/>
        <v>4</v>
      </c>
      <c r="B6">
        <v>22</v>
      </c>
      <c r="C6" s="1">
        <f t="shared" si="0"/>
        <v>0.11</v>
      </c>
      <c r="D6" s="1">
        <f t="shared" si="1"/>
        <v>0.33</v>
      </c>
    </row>
    <row r="7" spans="1:4" x14ac:dyDescent="0.25">
      <c r="A7">
        <f t="shared" si="2"/>
        <v>5</v>
      </c>
      <c r="B7">
        <v>28</v>
      </c>
      <c r="C7" s="1">
        <f t="shared" si="0"/>
        <v>0.14000000000000001</v>
      </c>
      <c r="D7" s="1">
        <f t="shared" si="1"/>
        <v>0.47000000000000003</v>
      </c>
    </row>
    <row r="8" spans="1:4" x14ac:dyDescent="0.25">
      <c r="A8">
        <f t="shared" si="2"/>
        <v>6</v>
      </c>
      <c r="B8">
        <v>30</v>
      </c>
      <c r="C8" s="1">
        <f t="shared" si="0"/>
        <v>0.15</v>
      </c>
      <c r="D8" s="1">
        <f t="shared" si="1"/>
        <v>0.62</v>
      </c>
    </row>
    <row r="9" spans="1:4" x14ac:dyDescent="0.25">
      <c r="A9">
        <f t="shared" si="2"/>
        <v>7</v>
      </c>
      <c r="B9">
        <v>26</v>
      </c>
      <c r="C9" s="1">
        <f t="shared" si="0"/>
        <v>0.13</v>
      </c>
      <c r="D9" s="1">
        <f t="shared" si="1"/>
        <v>0.75</v>
      </c>
    </row>
    <row r="10" spans="1:4" x14ac:dyDescent="0.25">
      <c r="A10">
        <f t="shared" si="2"/>
        <v>8</v>
      </c>
      <c r="B10">
        <v>20</v>
      </c>
      <c r="C10" s="1">
        <f t="shared" si="0"/>
        <v>0.1</v>
      </c>
      <c r="D10" s="1">
        <f t="shared" si="1"/>
        <v>0.85</v>
      </c>
    </row>
    <row r="11" spans="1:4" x14ac:dyDescent="0.25">
      <c r="A11">
        <f t="shared" si="2"/>
        <v>9</v>
      </c>
      <c r="B11">
        <v>14</v>
      </c>
      <c r="C11" s="1">
        <f t="shared" si="0"/>
        <v>7.0000000000000007E-2</v>
      </c>
      <c r="D11" s="1">
        <f t="shared" si="1"/>
        <v>0.91999999999999993</v>
      </c>
    </row>
    <row r="12" spans="1:4" x14ac:dyDescent="0.25">
      <c r="A12">
        <f t="shared" si="2"/>
        <v>10</v>
      </c>
      <c r="B12">
        <v>8</v>
      </c>
      <c r="C12" s="1">
        <f t="shared" si="0"/>
        <v>0.04</v>
      </c>
      <c r="D12" s="1">
        <f t="shared" si="1"/>
        <v>0.96</v>
      </c>
    </row>
    <row r="13" spans="1:4" x14ac:dyDescent="0.25">
      <c r="A13">
        <f t="shared" si="2"/>
        <v>11</v>
      </c>
      <c r="B13">
        <v>4</v>
      </c>
      <c r="C13" s="1">
        <f t="shared" si="0"/>
        <v>0.02</v>
      </c>
      <c r="D13" s="1">
        <f t="shared" si="1"/>
        <v>0.98</v>
      </c>
    </row>
    <row r="14" spans="1:4" x14ac:dyDescent="0.25">
      <c r="A14">
        <f t="shared" si="2"/>
        <v>12</v>
      </c>
      <c r="B14">
        <v>2</v>
      </c>
      <c r="C14" s="1">
        <f t="shared" si="0"/>
        <v>0.01</v>
      </c>
      <c r="D14" s="1">
        <f t="shared" si="1"/>
        <v>0.99</v>
      </c>
    </row>
    <row r="15" spans="1:4" x14ac:dyDescent="0.25">
      <c r="A15">
        <f t="shared" si="2"/>
        <v>13</v>
      </c>
      <c r="B15">
        <v>1</v>
      </c>
      <c r="C15" s="1">
        <f t="shared" si="0"/>
        <v>5.0000000000000001E-3</v>
      </c>
      <c r="D15" s="1">
        <f t="shared" si="1"/>
        <v>0.995</v>
      </c>
    </row>
    <row r="16" spans="1:4" x14ac:dyDescent="0.25">
      <c r="A16">
        <f t="shared" si="2"/>
        <v>14</v>
      </c>
      <c r="B16">
        <v>1</v>
      </c>
      <c r="C16" s="1">
        <f t="shared" si="0"/>
        <v>5.0000000000000001E-3</v>
      </c>
      <c r="D16" s="1">
        <f t="shared" si="1"/>
        <v>1</v>
      </c>
    </row>
    <row r="20" spans="1:2" x14ac:dyDescent="0.25">
      <c r="A20" t="s">
        <v>4</v>
      </c>
      <c r="B20">
        <f>SUMPRODUCT(A2:A16, C2:C16)</f>
        <v>5.705000000000001</v>
      </c>
    </row>
    <row r="21" spans="1:2" x14ac:dyDescent="0.25">
      <c r="A21" t="s">
        <v>5</v>
      </c>
      <c r="B21" cm="1">
        <f t="array" ref="B21">SUMPRODUCT((A2:A16 - B20)^2, C2:C16)</f>
        <v>7.3679749999999995</v>
      </c>
    </row>
    <row r="22" spans="1:2" x14ac:dyDescent="0.25">
      <c r="A22" t="s">
        <v>6</v>
      </c>
      <c r="B22">
        <f>SQRT(B21)</f>
        <v>2.714401407308801</v>
      </c>
    </row>
    <row r="23" spans="1:2" x14ac:dyDescent="0.25">
      <c r="A23" t="s">
        <v>7</v>
      </c>
      <c r="B23">
        <f>INDEX(A2:A16, MATCH(MAX(B2:B16), B2:B16, 0))</f>
        <v>6</v>
      </c>
    </row>
    <row r="24" spans="1:2" x14ac:dyDescent="0.25">
      <c r="A24" t="s">
        <v>8</v>
      </c>
      <c r="B24">
        <f>INDEX(A2:A16, MATCH(MAX(B2:B16), B2:B16, 0))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Nguyễn Như</dc:creator>
  <cp:lastModifiedBy>Thành Nguyễn Như</cp:lastModifiedBy>
  <dcterms:created xsi:type="dcterms:W3CDTF">2025-12-13T04:08:49Z</dcterms:created>
  <dcterms:modified xsi:type="dcterms:W3CDTF">2025-12-13T04:38:13Z</dcterms:modified>
</cp:coreProperties>
</file>