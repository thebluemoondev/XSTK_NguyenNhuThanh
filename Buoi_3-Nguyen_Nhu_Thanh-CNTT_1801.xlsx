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XTK\XSTK_NguyenNhuThanh\"/>
    </mc:Choice>
  </mc:AlternateContent>
  <xr:revisionPtr revIDLastSave="0" documentId="8_{AD477B1C-F48C-4BB2-9258-BE437A9D8C63}" xr6:coauthVersionLast="47" xr6:coauthVersionMax="47" xr10:uidLastSave="{00000000-0000-0000-0000-000000000000}"/>
  <bookViews>
    <workbookView xWindow="-96" yWindow="0" windowWidth="11712" windowHeight="12336" xr2:uid="{E2508FDA-3468-4203-A505-5F48C86F4137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1" i="1"/>
  <c r="B20" i="1"/>
  <c r="B17" i="1"/>
  <c r="B18" i="1"/>
  <c r="B15" i="1"/>
  <c r="B14" i="1"/>
  <c r="B12" i="1"/>
  <c r="B11" i="1"/>
  <c r="B9" i="1"/>
  <c r="B8" i="1"/>
  <c r="B6" i="1"/>
  <c r="B5" i="1"/>
  <c r="B3" i="1"/>
  <c r="B2" i="1"/>
</calcChain>
</file>

<file path=xl/sharedStrings.xml><?xml version="1.0" encoding="utf-8"?>
<sst xmlns="http://schemas.openxmlformats.org/spreadsheetml/2006/main" count="2" uniqueCount="2">
  <si>
    <t xml:space="preserve">Bài 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</si>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</sst>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9631-9A4C-4731-9C43-1412F4B6A994}">
  <dimension ref="A1:B24"/>
  <sheetViews>
    <sheetView tabSelected="1" workbookViewId="0">
      <selection activeCell="B25" sqref="B25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1.1000000000000001</v>
      </c>
      <c r="B2">
        <f>_xlfn.BINOM.DIST(8,12,0.7,FALSE)</f>
        <v>0.23113969609500007</v>
      </c>
    </row>
    <row r="3" spans="1:2" x14ac:dyDescent="0.25">
      <c r="A3">
        <v>1.2</v>
      </c>
      <c r="B3">
        <f>_xlfn.BINOM.DIST(9,12,0.7,TRUE)</f>
        <v>0.74718465214500007</v>
      </c>
    </row>
    <row r="5" spans="1:2" x14ac:dyDescent="0.25">
      <c r="A5">
        <v>2.1</v>
      </c>
      <c r="B5">
        <f>_xlfn.POISSON.DIST(3,2.5,FALSE)</f>
        <v>0.21376301724973648</v>
      </c>
    </row>
    <row r="6" spans="1:2" x14ac:dyDescent="0.25">
      <c r="A6">
        <v>2.2000000000000002</v>
      </c>
      <c r="B6">
        <f>_xlfn.POISSON.DIST(2,2.5,TRUE)</f>
        <v>0.54381311588332959</v>
      </c>
    </row>
    <row r="8" spans="1:2" x14ac:dyDescent="0.25">
      <c r="A8">
        <v>3.1</v>
      </c>
      <c r="B8">
        <f>_xlfn.NORM.DIST(1300,1200,100,TRUE)</f>
        <v>0.84134474606854304</v>
      </c>
    </row>
    <row r="9" spans="1:2" x14ac:dyDescent="0.25">
      <c r="A9">
        <v>3.2</v>
      </c>
      <c r="B9">
        <f>_xlfn.NORM.DIST(1250,1200,100,TRUE) - _xlfn.NORM.DIST(1100,1200,100,TRUE)</f>
        <v>0.53280720734255616</v>
      </c>
    </row>
    <row r="11" spans="1:2" x14ac:dyDescent="0.25">
      <c r="A11">
        <v>4.0999999999999996</v>
      </c>
      <c r="B11">
        <f>_xlfn.NORM.S.DIST(1.4,TRUE)</f>
        <v>0.91924334076622893</v>
      </c>
    </row>
    <row r="12" spans="1:2" x14ac:dyDescent="0.25">
      <c r="A12">
        <v>4.2</v>
      </c>
      <c r="B12">
        <f>_xlfn.NORM.S.INV(0.975)</f>
        <v>1.9599639845400536</v>
      </c>
    </row>
    <row r="14" spans="1:2" x14ac:dyDescent="0.25">
      <c r="A14">
        <v>5.0999999999999996</v>
      </c>
      <c r="B14">
        <f>_xlfn.T.DIST(2.12,15,TRUE)</f>
        <v>0.97445349581525154</v>
      </c>
    </row>
    <row r="15" spans="1:2" x14ac:dyDescent="0.25">
      <c r="A15">
        <v>5.2</v>
      </c>
      <c r="B15">
        <f>_xlfn.T.INV(0.95,15)</f>
        <v>1.7530503556925723</v>
      </c>
    </row>
    <row r="17" spans="1:2" x14ac:dyDescent="0.25">
      <c r="A17">
        <v>6.1</v>
      </c>
      <c r="B17">
        <f>(6-4)/(14-4)</f>
        <v>0.2</v>
      </c>
    </row>
    <row r="18" spans="1:2" x14ac:dyDescent="0.25">
      <c r="A18">
        <v>6.2</v>
      </c>
      <c r="B18">
        <f>(12-8)/(14-4)</f>
        <v>0.4</v>
      </c>
    </row>
    <row r="20" spans="1:2" x14ac:dyDescent="0.25">
      <c r="A20">
        <v>7.1</v>
      </c>
      <c r="B20">
        <f>_xlfn.CHISQ.DIST(10.64,6,TRUE)</f>
        <v>0.89983945993987757</v>
      </c>
    </row>
    <row r="21" spans="1:2" x14ac:dyDescent="0.25">
      <c r="A21">
        <v>7.2</v>
      </c>
      <c r="B21">
        <f>_xlfn.CHISQ.INV(0.95,6)</f>
        <v>12.591587243743977</v>
      </c>
    </row>
    <row r="23" spans="1:2" x14ac:dyDescent="0.25">
      <c r="A23">
        <v>8.1</v>
      </c>
      <c r="B23">
        <f>_xlfn.F.DIST(3.12,4,9,TRUE)</f>
        <v>0.92789119547700227</v>
      </c>
    </row>
    <row r="24" spans="1:2" x14ac:dyDescent="0.25">
      <c r="A24">
        <v>8.1999999999999993</v>
      </c>
      <c r="B24">
        <f>_xlfn.F.INV(0.95,4,9)</f>
        <v>3.6330885114190798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Nguyễn Như</dc:creator>
  <cp:lastModifiedBy>Thành Nguyễn Như</cp:lastModifiedBy>
  <dcterms:created xsi:type="dcterms:W3CDTF">2025-12-20T03:54:30Z</dcterms:created>
  <dcterms:modified xsi:type="dcterms:W3CDTF">2025-12-20T04:08:56Z</dcterms:modified>
</cp:coreProperties>
</file>